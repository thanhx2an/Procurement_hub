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barongc/nhan/Procurement_hub/"/>
    </mc:Choice>
  </mc:AlternateContent>
  <xr:revisionPtr revIDLastSave="0" documentId="13_ncr:1_{5E8DBA2D-0547-654D-926F-03B667C32B1E}" xr6:coauthVersionLast="47" xr6:coauthVersionMax="47" xr10:uidLastSave="{00000000-0000-0000-0000-000000000000}"/>
  <bookViews>
    <workbookView xWindow="0" yWindow="720" windowWidth="29400" windowHeight="18400" tabRatio="500" xr2:uid="{00000000-000D-0000-FFFF-FFFF00000000}"/>
  </bookViews>
  <sheets>
    <sheet name="Task Tracker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" i="2" l="1"/>
  <c r="D7" i="2" s="1"/>
  <c r="B7" i="2"/>
  <c r="D6" i="2"/>
  <c r="D5" i="2"/>
  <c r="D4" i="2"/>
  <c r="D3" i="2"/>
</calcChain>
</file>

<file path=xl/sharedStrings.xml><?xml version="1.0" encoding="utf-8"?>
<sst xmlns="http://schemas.openxmlformats.org/spreadsheetml/2006/main" count="232" uniqueCount="132">
  <si>
    <t>POC 2 – Multi-Vendor Procurement Hub · Task Tracker</t>
  </si>
  <si>
    <t>Last updated: April 2026  |  Scope: SAP CAP + BTP + React Frontend + S/4HANA Integration</t>
  </si>
  <si>
    <t>📦  PHASE 1 — Backend &amp; Data Model</t>
  </si>
  <si>
    <t>#</t>
  </si>
  <si>
    <t>Task</t>
  </si>
  <si>
    <t>Category</t>
  </si>
  <si>
    <t>Status</t>
  </si>
  <si>
    <t>Notes</t>
  </si>
  <si>
    <t>Initialize SAP CAP project (cds init)</t>
  </si>
  <si>
    <t>Project Setup</t>
  </si>
  <si>
    <t>✅ Done</t>
  </si>
  <si>
    <t>Base scaffold with package.json, .cdsrc.json</t>
  </si>
  <si>
    <t>Define db/schema.cds – core entities (Shipments, ShipmentItems, Products, Vendors, PriceLedger, AuditLogs)</t>
  </si>
  <si>
    <t>Data Model</t>
  </si>
  <si>
    <t>Temporal entity for PriceLedger; cuid + managed mixins</t>
  </si>
  <si>
    <t>Add purchaseOrderId &amp; delayReason fields to Shipments</t>
  </si>
  <si>
    <t>Needed for criticalDelay flow</t>
  </si>
  <si>
    <t>Refactor vendor Association → vendorCode: String(10)</t>
  </si>
  <si>
    <t>Disconnected Association removed; aligns with S/4HANA BusinessPartner</t>
  </si>
  <si>
    <t>Invoice scan media stream (LargeBinary + MediaType)</t>
  </si>
  <si>
    <t>invoiceScan + invoiceScan_mediaType on Shipments</t>
  </si>
  <si>
    <t>Define srv/procurement-service.cds – exposed entities &amp; projections</t>
  </si>
  <si>
    <t>Service Layer</t>
  </si>
  <si>
    <t>OData V4 draft-enabled service</t>
  </si>
  <si>
    <t>RBAC: xs-security.json scopes &amp; role-templates</t>
  </si>
  <si>
    <t>Security</t>
  </si>
  <si>
    <t>VendorUser, VendorAdmin, ProcurementManager, Auditor</t>
  </si>
  <si>
    <t>Fix RBAC where clause (vendorCode = $user.VendorID)</t>
  </si>
  <si>
    <t>Invalid vendor_BusinessPartner ref removed</t>
  </si>
  <si>
    <t>S/4HANA remote service bindings (API_PURCHASEORDER, API_BUSINESS_PARTNER, API_PRODUCT, API_SUPPLIERINVOICE)</t>
  </si>
  <si>
    <t>Integration</t>
  </si>
  <si>
    <t>cds.connect.to() in .cdsrc.json</t>
  </si>
  <si>
    <t>Implement criticalDelay action (flag delay + audit log)</t>
  </si>
  <si>
    <t>Business Logic</t>
  </si>
  <si>
    <t>Updates status→Exception, writes AuditLog</t>
  </si>
  <si>
    <t>Implement approveException action (Exception→Shipped + S4 PATCH)</t>
  </si>
  <si>
    <t>S4 PATCH gracefully caught on CSRF; local status always updates</t>
  </si>
  <si>
    <t>Implement rejectException action (Exception→Pending)</t>
  </si>
  <si>
    <t>Clears delayReason, audit log</t>
  </si>
  <si>
    <t>BTP Alert Notification integration (email on criticalDelay)</t>
  </si>
  <si>
    <t>Direct REST call with graceful fallback when not bound</t>
  </si>
  <si>
    <t>Add oauth2-configuration to xs-security.json for IAS</t>
  </si>
  <si>
    <t>redirect-uris, credential-types for external IdP</t>
  </si>
  <si>
    <t>🖥️  PHASE 2 — React Frontend</t>
  </si>
  <si>
    <t>Scaffold React + Vite + UI5 Web Components project</t>
  </si>
  <si>
    <t>vendor-portal with @ui5/webcomponents-react</t>
  </si>
  <si>
    <t>App.jsx routing (Dashboard, Shipments, PriceLedger, AuditLogs)</t>
  </si>
  <si>
    <t>Frontend</t>
  </si>
  <si>
    <t>react-router-dom v7</t>
  </si>
  <si>
    <t>AppShell navigation sidebar</t>
  </si>
  <si>
    <t>Added Audit Logs nav item</t>
  </si>
  <si>
    <t>Dashboard screen (KPIs, charts)</t>
  </si>
  <si>
    <t>vendorCode field updated</t>
  </si>
  <si>
    <t>ShipmentWorkspace screen (table + detail + create)</t>
  </si>
  <si>
    <t>Full OData draft flow</t>
  </si>
  <si>
    <t>Flag Delay dialog UI (criticalDelay with reason TextArea)</t>
  </si>
  <si>
    <t>delayMutation via TanStack Query</t>
  </si>
  <si>
    <t>Approve Exception dialog UI (new delivery date picker)</t>
  </si>
  <si>
    <t>approveMutation via TanStack Query</t>
  </si>
  <si>
    <t>Reject Exception inline button</t>
  </si>
  <si>
    <t>rejectMutation via TanStack Query</t>
  </si>
  <si>
    <t>PriceLedger screen (temporal price management)</t>
  </si>
  <si>
    <t>AuditLogs screen (KPIs + filters + log entries)</t>
  </si>
  <si>
    <t>Auto-refresh every 30s via refetchInterval</t>
  </si>
  <si>
    <t>api/client.js – all API functions</t>
  </si>
  <si>
    <t>triggerCriticalDelay, approveException, rejectException added</t>
  </si>
  <si>
    <t>TanStack Query for ALL data fetching (useQuery + useMutation)</t>
  </si>
  <si>
    <t>File upload refactored to uploadMutation</t>
  </si>
  <si>
    <t>🚀  PHASE 3 — BTP Deployment</t>
  </si>
  <si>
    <t>Create mta.yaml (CAP srv + Approuter + all BTP services)</t>
  </si>
  <si>
    <t>Deployment</t>
  </si>
  <si>
    <t>approuter.nodejs type, Alert Notification, real S/4 URL</t>
  </si>
  <si>
    <t>Create xs-app.json (Approuter routing config)</t>
  </si>
  <si>
    <t>Routes: /procurement/* → srv-api, /* → dist</t>
  </si>
  <si>
    <t>Add @sap/approuter to vendor-portal/package.json</t>
  </si>
  <si>
    <t>^16 version</t>
  </si>
  <si>
    <t>Git push to repository</t>
  </si>
  <si>
    <t>🔄 In Progress</t>
  </si>
  <si>
    <t>Ready to push; colleague deploys from this</t>
  </si>
  <si>
    <t>mbt build (generate .mtar archive)</t>
  </si>
  <si>
    <t>⏳ Pending</t>
  </si>
  <si>
    <t>Run: mbt build -t mta_archives</t>
  </si>
  <si>
    <t>cf login + cf deploy .mtar</t>
  </si>
  <si>
    <t>Run: cf deploy mta_archives/*.mtar</t>
  </si>
  <si>
    <t>Configure S4_API destination credentials in BTP Cockpit</t>
  </si>
  <si>
    <t>Configuration</t>
  </si>
  <si>
    <t>BTP Cockpit → Destinations → S4_API → set User/Password</t>
  </si>
  <si>
    <t>Configure IAS trust in BTP Cockpit (external IdP)</t>
  </si>
  <si>
    <t>Security → Trust Configuration → Add IAS tenant</t>
  </si>
  <si>
    <t>Create Alert Notification: Action (EMAIL)</t>
  </si>
  <si>
    <t>Type: EMAIL, target: procurement manager email</t>
  </si>
  <si>
    <t>Create Alert Notification: Condition (Severity=HIGH)</t>
  </si>
  <si>
    <t>Filters criticalDelay severity HIGH events</t>
  </si>
  <si>
    <t>Create Alert Notification: Subscription (link action+condition)</t>
  </si>
  <si>
    <t>Wires condition → email action</t>
  </si>
  <si>
    <t>✔️  PHASE 4 — Post-Deploy Testing &amp; Verification</t>
  </si>
  <si>
    <t>Verify app loads via Approuter URL</t>
  </si>
  <si>
    <t>Testing</t>
  </si>
  <si>
    <t>Check BTP CF app URL after deploy</t>
  </si>
  <si>
    <t>Test login flow via XSUAA / IAS</t>
  </si>
  <si>
    <t>Vendor user login with IAS account</t>
  </si>
  <si>
    <t>Test RBAC: VendorUser sees only own shipments</t>
  </si>
  <si>
    <t>Assign VendorID attribute to test user in BTP Cockpit</t>
  </si>
  <si>
    <t>Test criticalDelay → email received by manager</t>
  </si>
  <si>
    <t>End-to-end: flag delay → check inbox</t>
  </si>
  <si>
    <t>Test approveException (status→Shipped, date updated)</t>
  </si>
  <si>
    <t>Verify S/4HANA PATCH works with production OAuth</t>
  </si>
  <si>
    <t>Test rejectException (status→Pending, reason cleared)</t>
  </si>
  <si>
    <t>Test invoice PDF upload + OCR result display</t>
  </si>
  <si>
    <t>Verify LargeBinary stream endpoint</t>
  </si>
  <si>
    <t>Test AuditLogs screen (entries appear, filters work)</t>
  </si>
  <si>
    <t>Trigger a few events then check log</t>
  </si>
  <si>
    <t>Test PriceLedger temporal queries</t>
  </si>
  <si>
    <t>validFrom/validTo date filtering</t>
  </si>
  <si>
    <t>Performance &amp; load check (HANA queries)</t>
  </si>
  <si>
    <t>Optional for POC; ensure no N+1 on Shipment items</t>
  </si>
  <si>
    <t>Project Summary</t>
  </si>
  <si>
    <t>Phase</t>
  </si>
  <si>
    <t>Total Tasks</t>
  </si>
  <si>
    <t>Completed</t>
  </si>
  <si>
    <t>% Done</t>
  </si>
  <si>
    <t>Phase 1 – Backend &amp; Data Model</t>
  </si>
  <si>
    <t>Phase 2 – React Frontend</t>
  </si>
  <si>
    <t>Phase 3 – BTP Deployment</t>
  </si>
  <si>
    <t>Phase 4 – Post-Deploy Testing</t>
  </si>
  <si>
    <t>TOTAL</t>
  </si>
  <si>
    <t>Legend</t>
  </si>
  <si>
    <t>Task completed</t>
  </si>
  <si>
    <t>Currently being worked on</t>
  </si>
  <si>
    <t>Not yet started</t>
  </si>
  <si>
    <t>🚫 Blocked</t>
  </si>
  <si>
    <t>Blocked by dependency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</si>
</sst>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9"/>
      <color rgb="FF78909C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546E7A"/>
      <name val="Arial"/>
      <charset val="1"/>
    </font>
    <font>
      <sz val="9"/>
      <color rgb="FF212121"/>
      <name val="Arial"/>
      <charset val="1"/>
    </font>
    <font>
      <b/>
      <sz val="9"/>
      <color rgb="FF256029"/>
      <name val="Arial"/>
      <charset val="1"/>
    </font>
    <font>
      <b/>
      <sz val="9"/>
      <color rgb="FF0D47A1"/>
      <name val="Arial"/>
      <charset val="1"/>
    </font>
    <font>
      <b/>
      <sz val="9"/>
      <color rgb="FF7B6000"/>
      <name val="Arial"/>
      <charset val="1"/>
    </font>
    <font>
      <b/>
      <sz val="13"/>
      <color rgb="FFFFFFFF"/>
      <name val="Arial"/>
      <charset val="1"/>
    </font>
    <font>
      <sz val="9"/>
      <name val="Arial"/>
      <charset val="1"/>
    </font>
    <font>
      <b/>
      <sz val="9"/>
      <color rgb="FFFFFFFF"/>
      <name val="Arial"/>
      <charset val="1"/>
    </font>
    <font>
      <b/>
      <sz val="10"/>
      <name val="Arial"/>
      <charset val="1"/>
    </font>
    <font>
      <b/>
      <sz val="9"/>
      <color rgb="FF880E4F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E2A3A"/>
        <bgColor rgb="FF212121"/>
      </patternFill>
    </fill>
    <fill>
      <patternFill patternType="solid">
        <fgColor rgb="FFECEFF1"/>
        <bgColor rgb="FFE8F5E9"/>
      </patternFill>
    </fill>
    <fill>
      <patternFill patternType="solid">
        <fgColor rgb="FF1565C0"/>
        <bgColor rgb="FF0D47A1"/>
      </patternFill>
    </fill>
    <fill>
      <patternFill patternType="solid">
        <fgColor rgb="FF37474F"/>
        <bgColor rgb="FF455A64"/>
      </patternFill>
    </fill>
    <fill>
      <patternFill patternType="solid">
        <fgColor rgb="FFFFFFFF"/>
        <bgColor rgb="FFF8F9FA"/>
      </patternFill>
    </fill>
    <fill>
      <patternFill patternType="solid">
        <fgColor rgb="FFE8F5E9"/>
        <bgColor rgb="FFECEFF1"/>
      </patternFill>
    </fill>
    <fill>
      <patternFill patternType="solid">
        <fgColor rgb="FFF8F9FA"/>
        <bgColor rgb="FFFFFFFF"/>
      </patternFill>
    </fill>
    <fill>
      <patternFill patternType="solid">
        <fgColor rgb="FF2E7D32"/>
        <bgColor rgb="FF256029"/>
      </patternFill>
    </fill>
    <fill>
      <patternFill patternType="solid">
        <fgColor rgb="FF6A1B9A"/>
        <bgColor rgb="FF660066"/>
      </patternFill>
    </fill>
    <fill>
      <patternFill patternType="solid">
        <fgColor rgb="FFE3F2FD"/>
        <bgColor rgb="FFECEFF1"/>
      </patternFill>
    </fill>
    <fill>
      <patternFill patternType="solid">
        <fgColor rgb="FFFFF8E1"/>
        <bgColor rgb="FFF8F9FA"/>
      </patternFill>
    </fill>
    <fill>
      <patternFill patternType="solid">
        <fgColor rgb="FFE65100"/>
        <bgColor rgb="FF993300"/>
      </patternFill>
    </fill>
    <fill>
      <patternFill patternType="solid">
        <fgColor rgb="FF455A64"/>
        <bgColor rgb="FF37474F"/>
      </patternFill>
    </fill>
    <fill>
      <patternFill patternType="solid">
        <fgColor rgb="FFFCE4EC"/>
        <bgColor rgb="FFECEFF1"/>
      </patternFill>
    </fill>
  </fills>
  <borders count="3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DEE2E6"/>
      </left>
      <right/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1" fillId="0" borderId="2" xfId="0" applyFont="1" applyBorder="1" applyAlignment="1">
      <alignment vertical="center" indent="1"/>
    </xf>
    <xf numFmtId="0" fontId="10" fillId="2" borderId="1" xfId="0" applyFont="1" applyFill="1" applyBorder="1" applyAlignment="1">
      <alignment horizontal="left" vertical="center" indent="2"/>
    </xf>
    <xf numFmtId="0" fontId="3" fillId="13" borderId="1" xfId="0" applyFont="1" applyFill="1" applyBorder="1" applyAlignment="1">
      <alignment horizontal="left" vertical="center" indent="1"/>
    </xf>
    <xf numFmtId="0" fontId="3" fillId="10" borderId="1" xfId="0" applyFont="1" applyFill="1" applyBorder="1" applyAlignment="1">
      <alignment horizontal="left" vertical="center" indent="1"/>
    </xf>
    <xf numFmtId="0" fontId="3" fillId="9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2"/>
    </xf>
    <xf numFmtId="0" fontId="1" fillId="2" borderId="1" xfId="0" applyFont="1" applyFill="1" applyBorder="1" applyAlignment="1">
      <alignment horizontal="left" vertical="center" indent="2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8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 indent="1"/>
    </xf>
    <xf numFmtId="0" fontId="11" fillId="6" borderId="1" xfId="0" applyFont="1" applyFill="1" applyBorder="1" applyAlignment="1">
      <alignment horizontal="center" vertical="center"/>
    </xf>
    <xf numFmtId="9" fontId="11" fillId="6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 indent="1"/>
    </xf>
    <xf numFmtId="0" fontId="11" fillId="8" borderId="1" xfId="0" applyFont="1" applyFill="1" applyBorder="1" applyAlignment="1">
      <alignment horizontal="center" vertical="center"/>
    </xf>
    <xf numFmtId="9" fontId="11" fillId="8" borderId="1" xfId="0" applyNumberFormat="1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left" vertical="center" indent="1"/>
    </xf>
    <xf numFmtId="0" fontId="12" fillId="14" borderId="1" xfId="0" applyFont="1" applyFill="1" applyBorder="1" applyAlignment="1">
      <alignment horizontal="center" vertical="center"/>
    </xf>
    <xf numFmtId="9" fontId="12" fillId="14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indent="1"/>
    </xf>
    <xf numFmtId="0" fontId="7" fillId="7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56029"/>
      <rgbColor rgb="FF000080"/>
      <rgbColor rgb="FF7B6000"/>
      <rgbColor rgb="FF880E4F"/>
      <rgbColor rgb="FF455A64"/>
      <rgbColor rgb="FFC0C0C0"/>
      <rgbColor rgb="FF78909C"/>
      <rgbColor rgb="FF9999FF"/>
      <rgbColor rgb="FF993366"/>
      <rgbColor rgb="FFFFF8E1"/>
      <rgbColor rgb="FFE3F2FD"/>
      <rgbColor rgb="FF660066"/>
      <rgbColor rgb="FFFF8080"/>
      <rgbColor rgb="FF1565C0"/>
      <rgbColor rgb="FFDEE2E6"/>
      <rgbColor rgb="FF000080"/>
      <rgbColor rgb="FFFF00FF"/>
      <rgbColor rgb="FFFFFF00"/>
      <rgbColor rgb="FF00FFFF"/>
      <rgbColor rgb="FF6A1B9A"/>
      <rgbColor rgb="FF800000"/>
      <rgbColor rgb="FF008080"/>
      <rgbColor rgb="FF0000FF"/>
      <rgbColor rgb="FF00CCFF"/>
      <rgbColor rgb="FFE8F5E9"/>
      <rgbColor rgb="FFECEFF1"/>
      <rgbColor rgb="FFF8F9FA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E65100"/>
      <rgbColor rgb="FF546E7A"/>
      <rgbColor rgb="FF969696"/>
      <rgbColor rgb="FF0D47A1"/>
      <rgbColor rgb="FF2E7D32"/>
      <rgbColor rgb="FF003300"/>
      <rgbColor rgb="FF212121"/>
      <rgbColor rgb="FF993300"/>
      <rgbColor rgb="FF993366"/>
      <rgbColor rgb="FF37474F"/>
      <rgbColor rgb="FF1E2A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54" sqref="H54"/>
    </sheetView>
  </sheetViews>
  <sheetFormatPr baseColWidth="10" defaultColWidth="8.6640625" defaultRowHeight="15" x14ac:dyDescent="0.2"/>
  <cols>
    <col min="1" max="1" width="5" customWidth="1"/>
    <col min="2" max="2" width="48" customWidth="1"/>
    <col min="3" max="3" width="20" customWidth="1"/>
    <col min="4" max="4" width="16" customWidth="1"/>
    <col min="5" max="5" width="36" customWidth="1"/>
  </cols>
  <sheetData>
    <row r="1" spans="1:5" ht="36" customHeight="1" x14ac:dyDescent="0.2">
      <c r="A1" s="8" t="s">
        <v>0</v>
      </c>
      <c r="B1" s="8"/>
      <c r="C1" s="8"/>
      <c r="D1" s="8"/>
      <c r="E1" s="8"/>
    </row>
    <row r="2" spans="1:5" ht="15.75" customHeight="1" x14ac:dyDescent="0.2">
      <c r="A2" s="7" t="s">
        <v>1</v>
      </c>
      <c r="B2" s="7"/>
      <c r="C2" s="7"/>
      <c r="D2" s="7"/>
      <c r="E2" s="7"/>
    </row>
    <row r="3" spans="1:5" ht="25.5" customHeight="1" x14ac:dyDescent="0.2">
      <c r="A3" s="6" t="s">
        <v>2</v>
      </c>
      <c r="B3" s="6"/>
      <c r="C3" s="6"/>
      <c r="D3" s="6"/>
      <c r="E3" s="6"/>
    </row>
    <row r="4" spans="1:5" ht="30" customHeight="1" x14ac:dyDescent="0.2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</row>
    <row r="5" spans="1:5" ht="30" customHeight="1" x14ac:dyDescent="0.2">
      <c r="A5" s="10">
        <v>1</v>
      </c>
      <c r="B5" s="11" t="s">
        <v>8</v>
      </c>
      <c r="C5" s="11" t="s">
        <v>9</v>
      </c>
      <c r="D5" s="12" t="s">
        <v>10</v>
      </c>
      <c r="E5" s="11" t="s">
        <v>11</v>
      </c>
    </row>
    <row r="6" spans="1:5" ht="30" customHeight="1" x14ac:dyDescent="0.2">
      <c r="A6" s="13">
        <v>2</v>
      </c>
      <c r="B6" s="14" t="s">
        <v>12</v>
      </c>
      <c r="C6" s="14" t="s">
        <v>13</v>
      </c>
      <c r="D6" s="12" t="s">
        <v>10</v>
      </c>
      <c r="E6" s="14" t="s">
        <v>14</v>
      </c>
    </row>
    <row r="7" spans="1:5" ht="30" customHeight="1" x14ac:dyDescent="0.2">
      <c r="A7" s="10">
        <v>3</v>
      </c>
      <c r="B7" s="11" t="s">
        <v>15</v>
      </c>
      <c r="C7" s="11" t="s">
        <v>13</v>
      </c>
      <c r="D7" s="12" t="s">
        <v>10</v>
      </c>
      <c r="E7" s="11" t="s">
        <v>16</v>
      </c>
    </row>
    <row r="8" spans="1:5" ht="30" customHeight="1" x14ac:dyDescent="0.2">
      <c r="A8" s="13">
        <v>4</v>
      </c>
      <c r="B8" s="14" t="s">
        <v>17</v>
      </c>
      <c r="C8" s="14" t="s">
        <v>13</v>
      </c>
      <c r="D8" s="12" t="s">
        <v>10</v>
      </c>
      <c r="E8" s="14" t="s">
        <v>18</v>
      </c>
    </row>
    <row r="9" spans="1:5" ht="30" customHeight="1" x14ac:dyDescent="0.2">
      <c r="A9" s="10">
        <v>5</v>
      </c>
      <c r="B9" s="11" t="s">
        <v>19</v>
      </c>
      <c r="C9" s="11" t="s">
        <v>13</v>
      </c>
      <c r="D9" s="12" t="s">
        <v>10</v>
      </c>
      <c r="E9" s="11" t="s">
        <v>20</v>
      </c>
    </row>
    <row r="10" spans="1:5" ht="30" customHeight="1" x14ac:dyDescent="0.2">
      <c r="A10" s="13">
        <v>6</v>
      </c>
      <c r="B10" s="14" t="s">
        <v>21</v>
      </c>
      <c r="C10" s="14" t="s">
        <v>22</v>
      </c>
      <c r="D10" s="12" t="s">
        <v>10</v>
      </c>
      <c r="E10" s="14" t="s">
        <v>23</v>
      </c>
    </row>
    <row r="11" spans="1:5" ht="30" customHeight="1" x14ac:dyDescent="0.2">
      <c r="A11" s="10">
        <v>7</v>
      </c>
      <c r="B11" s="11" t="s">
        <v>24</v>
      </c>
      <c r="C11" s="11" t="s">
        <v>25</v>
      </c>
      <c r="D11" s="12" t="s">
        <v>10</v>
      </c>
      <c r="E11" s="11" t="s">
        <v>26</v>
      </c>
    </row>
    <row r="12" spans="1:5" ht="30" customHeight="1" x14ac:dyDescent="0.2">
      <c r="A12" s="13">
        <v>8</v>
      </c>
      <c r="B12" s="14" t="s">
        <v>27</v>
      </c>
      <c r="C12" s="14" t="s">
        <v>25</v>
      </c>
      <c r="D12" s="12" t="s">
        <v>10</v>
      </c>
      <c r="E12" s="14" t="s">
        <v>28</v>
      </c>
    </row>
    <row r="13" spans="1:5" ht="30" customHeight="1" x14ac:dyDescent="0.2">
      <c r="A13" s="10">
        <v>9</v>
      </c>
      <c r="B13" s="11" t="s">
        <v>29</v>
      </c>
      <c r="C13" s="11" t="s">
        <v>30</v>
      </c>
      <c r="D13" s="12" t="s">
        <v>10</v>
      </c>
      <c r="E13" s="11" t="s">
        <v>31</v>
      </c>
    </row>
    <row r="14" spans="1:5" ht="30" customHeight="1" x14ac:dyDescent="0.2">
      <c r="A14" s="13">
        <v>10</v>
      </c>
      <c r="B14" s="14" t="s">
        <v>32</v>
      </c>
      <c r="C14" s="14" t="s">
        <v>33</v>
      </c>
      <c r="D14" s="12" t="s">
        <v>10</v>
      </c>
      <c r="E14" s="14" t="s">
        <v>34</v>
      </c>
    </row>
    <row r="15" spans="1:5" ht="30" customHeight="1" x14ac:dyDescent="0.2">
      <c r="A15" s="10">
        <v>11</v>
      </c>
      <c r="B15" s="11" t="s">
        <v>35</v>
      </c>
      <c r="C15" s="11" t="s">
        <v>33</v>
      </c>
      <c r="D15" s="12" t="s">
        <v>10</v>
      </c>
      <c r="E15" s="11" t="s">
        <v>36</v>
      </c>
    </row>
    <row r="16" spans="1:5" ht="30" customHeight="1" x14ac:dyDescent="0.2">
      <c r="A16" s="13">
        <v>12</v>
      </c>
      <c r="B16" s="14" t="s">
        <v>37</v>
      </c>
      <c r="C16" s="14" t="s">
        <v>33</v>
      </c>
      <c r="D16" s="12" t="s">
        <v>10</v>
      </c>
      <c r="E16" s="14" t="s">
        <v>38</v>
      </c>
    </row>
    <row r="17" spans="1:5" ht="30" customHeight="1" x14ac:dyDescent="0.2">
      <c r="A17" s="10">
        <v>13</v>
      </c>
      <c r="B17" s="11" t="s">
        <v>39</v>
      </c>
      <c r="C17" s="11" t="s">
        <v>30</v>
      </c>
      <c r="D17" s="12" t="s">
        <v>10</v>
      </c>
      <c r="E17" s="11" t="s">
        <v>40</v>
      </c>
    </row>
    <row r="18" spans="1:5" ht="30" customHeight="1" x14ac:dyDescent="0.2">
      <c r="A18" s="13">
        <v>14</v>
      </c>
      <c r="B18" s="14" t="s">
        <v>41</v>
      </c>
      <c r="C18" s="14" t="s">
        <v>25</v>
      </c>
      <c r="D18" s="12" t="s">
        <v>10</v>
      </c>
      <c r="E18" s="14" t="s">
        <v>42</v>
      </c>
    </row>
    <row r="19" spans="1:5" ht="30" customHeight="1" x14ac:dyDescent="0.2">
      <c r="A19" s="15"/>
      <c r="B19" s="15"/>
      <c r="C19" s="15"/>
      <c r="D19" s="15"/>
      <c r="E19" s="15"/>
    </row>
    <row r="20" spans="1:5" ht="30" customHeight="1" x14ac:dyDescent="0.2">
      <c r="A20" s="5" t="s">
        <v>43</v>
      </c>
      <c r="B20" s="5"/>
      <c r="C20" s="5"/>
      <c r="D20" s="5"/>
      <c r="E20" s="5"/>
    </row>
    <row r="21" spans="1:5" ht="30" customHeight="1" x14ac:dyDescent="0.2">
      <c r="A21" s="9" t="s">
        <v>3</v>
      </c>
      <c r="B21" s="9" t="s">
        <v>4</v>
      </c>
      <c r="C21" s="9" t="s">
        <v>5</v>
      </c>
      <c r="D21" s="9" t="s">
        <v>6</v>
      </c>
      <c r="E21" s="9" t="s">
        <v>7</v>
      </c>
    </row>
    <row r="22" spans="1:5" ht="30" customHeight="1" x14ac:dyDescent="0.2">
      <c r="A22" s="10">
        <v>15</v>
      </c>
      <c r="B22" s="11" t="s">
        <v>44</v>
      </c>
      <c r="C22" s="11" t="s">
        <v>9</v>
      </c>
      <c r="D22" s="12" t="s">
        <v>10</v>
      </c>
      <c r="E22" s="11" t="s">
        <v>45</v>
      </c>
    </row>
    <row r="23" spans="1:5" ht="30" customHeight="1" x14ac:dyDescent="0.2">
      <c r="A23" s="13">
        <v>16</v>
      </c>
      <c r="B23" s="14" t="s">
        <v>46</v>
      </c>
      <c r="C23" s="14" t="s">
        <v>47</v>
      </c>
      <c r="D23" s="12" t="s">
        <v>10</v>
      </c>
      <c r="E23" s="14" t="s">
        <v>48</v>
      </c>
    </row>
    <row r="24" spans="1:5" ht="30" customHeight="1" x14ac:dyDescent="0.2">
      <c r="A24" s="10">
        <v>17</v>
      </c>
      <c r="B24" s="11" t="s">
        <v>49</v>
      </c>
      <c r="C24" s="11" t="s">
        <v>47</v>
      </c>
      <c r="D24" s="12" t="s">
        <v>10</v>
      </c>
      <c r="E24" s="11" t="s">
        <v>50</v>
      </c>
    </row>
    <row r="25" spans="1:5" ht="30" customHeight="1" x14ac:dyDescent="0.2">
      <c r="A25" s="13">
        <v>18</v>
      </c>
      <c r="B25" s="14" t="s">
        <v>51</v>
      </c>
      <c r="C25" s="14" t="s">
        <v>47</v>
      </c>
      <c r="D25" s="12" t="s">
        <v>10</v>
      </c>
      <c r="E25" s="14" t="s">
        <v>52</v>
      </c>
    </row>
    <row r="26" spans="1:5" ht="30" customHeight="1" x14ac:dyDescent="0.2">
      <c r="A26" s="10">
        <v>19</v>
      </c>
      <c r="B26" s="11" t="s">
        <v>53</v>
      </c>
      <c r="C26" s="11" t="s">
        <v>47</v>
      </c>
      <c r="D26" s="12" t="s">
        <v>10</v>
      </c>
      <c r="E26" s="11" t="s">
        <v>54</v>
      </c>
    </row>
    <row r="27" spans="1:5" ht="30" customHeight="1" x14ac:dyDescent="0.2">
      <c r="A27" s="13">
        <v>20</v>
      </c>
      <c r="B27" s="14" t="s">
        <v>55</v>
      </c>
      <c r="C27" s="14" t="s">
        <v>47</v>
      </c>
      <c r="D27" s="12" t="s">
        <v>10</v>
      </c>
      <c r="E27" s="14" t="s">
        <v>56</v>
      </c>
    </row>
    <row r="28" spans="1:5" ht="30" customHeight="1" x14ac:dyDescent="0.2">
      <c r="A28" s="10">
        <v>21</v>
      </c>
      <c r="B28" s="11" t="s">
        <v>57</v>
      </c>
      <c r="C28" s="11" t="s">
        <v>47</v>
      </c>
      <c r="D28" s="12" t="s">
        <v>10</v>
      </c>
      <c r="E28" s="11" t="s">
        <v>58</v>
      </c>
    </row>
    <row r="29" spans="1:5" ht="30" customHeight="1" x14ac:dyDescent="0.2">
      <c r="A29" s="13">
        <v>22</v>
      </c>
      <c r="B29" s="14" t="s">
        <v>59</v>
      </c>
      <c r="C29" s="14" t="s">
        <v>47</v>
      </c>
      <c r="D29" s="12" t="s">
        <v>10</v>
      </c>
      <c r="E29" s="14" t="s">
        <v>60</v>
      </c>
    </row>
    <row r="30" spans="1:5" ht="30" customHeight="1" x14ac:dyDescent="0.2">
      <c r="A30" s="10">
        <v>23</v>
      </c>
      <c r="B30" s="11" t="s">
        <v>61</v>
      </c>
      <c r="C30" s="11" t="s">
        <v>47</v>
      </c>
      <c r="D30" s="12" t="s">
        <v>10</v>
      </c>
      <c r="E30" s="11" t="s">
        <v>52</v>
      </c>
    </row>
    <row r="31" spans="1:5" ht="30" customHeight="1" x14ac:dyDescent="0.2">
      <c r="A31" s="13">
        <v>24</v>
      </c>
      <c r="B31" s="14" t="s">
        <v>62</v>
      </c>
      <c r="C31" s="14" t="s">
        <v>47</v>
      </c>
      <c r="D31" s="12" t="s">
        <v>10</v>
      </c>
      <c r="E31" s="14" t="s">
        <v>63</v>
      </c>
    </row>
    <row r="32" spans="1:5" ht="30" customHeight="1" x14ac:dyDescent="0.2">
      <c r="A32" s="10">
        <v>25</v>
      </c>
      <c r="B32" s="11" t="s">
        <v>64</v>
      </c>
      <c r="C32" s="11" t="s">
        <v>47</v>
      </c>
      <c r="D32" s="12" t="s">
        <v>10</v>
      </c>
      <c r="E32" s="11" t="s">
        <v>65</v>
      </c>
    </row>
    <row r="33" spans="1:5" ht="30" customHeight="1" x14ac:dyDescent="0.2">
      <c r="A33" s="13">
        <v>26</v>
      </c>
      <c r="B33" s="14" t="s">
        <v>66</v>
      </c>
      <c r="C33" s="14" t="s">
        <v>47</v>
      </c>
      <c r="D33" s="12" t="s">
        <v>10</v>
      </c>
      <c r="E33" s="14" t="s">
        <v>67</v>
      </c>
    </row>
    <row r="34" spans="1:5" ht="30" customHeight="1" x14ac:dyDescent="0.2">
      <c r="A34" s="15"/>
      <c r="B34" s="15"/>
      <c r="C34" s="15"/>
      <c r="D34" s="15"/>
      <c r="E34" s="15"/>
    </row>
    <row r="35" spans="1:5" ht="30" customHeight="1" x14ac:dyDescent="0.2">
      <c r="A35" s="4" t="s">
        <v>68</v>
      </c>
      <c r="B35" s="4"/>
      <c r="C35" s="4"/>
      <c r="D35" s="4"/>
      <c r="E35" s="4"/>
    </row>
    <row r="36" spans="1:5" ht="30" customHeight="1" x14ac:dyDescent="0.2">
      <c r="A36" s="9" t="s">
        <v>3</v>
      </c>
      <c r="B36" s="9" t="s">
        <v>4</v>
      </c>
      <c r="C36" s="9" t="s">
        <v>5</v>
      </c>
      <c r="D36" s="9" t="s">
        <v>6</v>
      </c>
      <c r="E36" s="9" t="s">
        <v>7</v>
      </c>
    </row>
    <row r="37" spans="1:5" ht="30" customHeight="1" x14ac:dyDescent="0.2">
      <c r="A37" s="10">
        <v>27</v>
      </c>
      <c r="B37" s="11" t="s">
        <v>69</v>
      </c>
      <c r="C37" s="11" t="s">
        <v>70</v>
      </c>
      <c r="D37" s="12" t="s">
        <v>10</v>
      </c>
      <c r="E37" s="11" t="s">
        <v>71</v>
      </c>
    </row>
    <row r="38" spans="1:5" ht="30" customHeight="1" x14ac:dyDescent="0.2">
      <c r="A38" s="13">
        <v>28</v>
      </c>
      <c r="B38" s="14" t="s">
        <v>72</v>
      </c>
      <c r="C38" s="14" t="s">
        <v>70</v>
      </c>
      <c r="D38" s="12" t="s">
        <v>10</v>
      </c>
      <c r="E38" s="14" t="s">
        <v>73</v>
      </c>
    </row>
    <row r="39" spans="1:5" ht="30" customHeight="1" x14ac:dyDescent="0.2">
      <c r="A39" s="10">
        <v>29</v>
      </c>
      <c r="B39" s="11" t="s">
        <v>74</v>
      </c>
      <c r="C39" s="11" t="s">
        <v>70</v>
      </c>
      <c r="D39" s="12" t="s">
        <v>10</v>
      </c>
      <c r="E39" s="11" t="s">
        <v>75</v>
      </c>
    </row>
    <row r="40" spans="1:5" ht="30" customHeight="1" x14ac:dyDescent="0.2">
      <c r="A40" s="13">
        <v>30</v>
      </c>
      <c r="B40" s="14" t="s">
        <v>76</v>
      </c>
      <c r="C40" s="14" t="s">
        <v>70</v>
      </c>
      <c r="D40" s="16" t="s">
        <v>77</v>
      </c>
      <c r="E40" s="14" t="s">
        <v>78</v>
      </c>
    </row>
    <row r="41" spans="1:5" ht="30" customHeight="1" x14ac:dyDescent="0.2">
      <c r="A41" s="10">
        <v>31</v>
      </c>
      <c r="B41" s="11" t="s">
        <v>79</v>
      </c>
      <c r="C41" s="11" t="s">
        <v>70</v>
      </c>
      <c r="D41" s="17" t="s">
        <v>80</v>
      </c>
      <c r="E41" s="11" t="s">
        <v>81</v>
      </c>
    </row>
    <row r="42" spans="1:5" ht="30" customHeight="1" x14ac:dyDescent="0.2">
      <c r="A42" s="13">
        <v>32</v>
      </c>
      <c r="B42" s="14" t="s">
        <v>82</v>
      </c>
      <c r="C42" s="14" t="s">
        <v>70</v>
      </c>
      <c r="D42" s="17" t="s">
        <v>80</v>
      </c>
      <c r="E42" s="14" t="s">
        <v>83</v>
      </c>
    </row>
    <row r="43" spans="1:5" ht="30" customHeight="1" x14ac:dyDescent="0.2">
      <c r="A43" s="10">
        <v>33</v>
      </c>
      <c r="B43" s="11" t="s">
        <v>84</v>
      </c>
      <c r="C43" s="11" t="s">
        <v>85</v>
      </c>
      <c r="D43" s="17" t="s">
        <v>80</v>
      </c>
      <c r="E43" s="11" t="s">
        <v>86</v>
      </c>
    </row>
    <row r="44" spans="1:5" ht="30" customHeight="1" x14ac:dyDescent="0.2">
      <c r="A44" s="13">
        <v>34</v>
      </c>
      <c r="B44" s="14" t="s">
        <v>87</v>
      </c>
      <c r="C44" s="14" t="s">
        <v>85</v>
      </c>
      <c r="D44" s="17" t="s">
        <v>80</v>
      </c>
      <c r="E44" s="14" t="s">
        <v>88</v>
      </c>
    </row>
    <row r="45" spans="1:5" ht="30" customHeight="1" x14ac:dyDescent="0.2">
      <c r="A45" s="10">
        <v>35</v>
      </c>
      <c r="B45" s="11" t="s">
        <v>89</v>
      </c>
      <c r="C45" s="11" t="s">
        <v>85</v>
      </c>
      <c r="D45" s="17" t="s">
        <v>80</v>
      </c>
      <c r="E45" s="11" t="s">
        <v>90</v>
      </c>
    </row>
    <row r="46" spans="1:5" ht="30" customHeight="1" x14ac:dyDescent="0.2">
      <c r="A46" s="13">
        <v>36</v>
      </c>
      <c r="B46" s="14" t="s">
        <v>91</v>
      </c>
      <c r="C46" s="14" t="s">
        <v>85</v>
      </c>
      <c r="D46" s="17" t="s">
        <v>80</v>
      </c>
      <c r="E46" s="14" t="s">
        <v>92</v>
      </c>
    </row>
    <row r="47" spans="1:5" ht="30" customHeight="1" x14ac:dyDescent="0.2">
      <c r="A47" s="10">
        <v>37</v>
      </c>
      <c r="B47" s="11" t="s">
        <v>93</v>
      </c>
      <c r="C47" s="11" t="s">
        <v>85</v>
      </c>
      <c r="D47" s="17" t="s">
        <v>80</v>
      </c>
      <c r="E47" s="11" t="s">
        <v>94</v>
      </c>
    </row>
    <row r="48" spans="1:5" ht="30" customHeight="1" x14ac:dyDescent="0.2">
      <c r="A48" s="15"/>
      <c r="B48" s="15"/>
      <c r="C48" s="15"/>
      <c r="D48" s="15"/>
      <c r="E48" s="15"/>
    </row>
    <row r="49" spans="1:5" ht="30" customHeight="1" x14ac:dyDescent="0.2">
      <c r="A49" s="3" t="s">
        <v>95</v>
      </c>
      <c r="B49" s="3"/>
      <c r="C49" s="3"/>
      <c r="D49" s="3"/>
      <c r="E49" s="3"/>
    </row>
    <row r="50" spans="1:5" ht="30" customHeight="1" x14ac:dyDescent="0.2">
      <c r="A50" s="9" t="s">
        <v>3</v>
      </c>
      <c r="B50" s="9" t="s">
        <v>4</v>
      </c>
      <c r="C50" s="9" t="s">
        <v>5</v>
      </c>
      <c r="D50" s="9" t="s">
        <v>6</v>
      </c>
      <c r="E50" s="9" t="s">
        <v>7</v>
      </c>
    </row>
    <row r="51" spans="1:5" ht="30" customHeight="1" x14ac:dyDescent="0.2">
      <c r="A51" s="10">
        <v>38</v>
      </c>
      <c r="B51" s="11" t="s">
        <v>96</v>
      </c>
      <c r="C51" s="11" t="s">
        <v>97</v>
      </c>
      <c r="D51" s="17" t="s">
        <v>80</v>
      </c>
      <c r="E51" s="11" t="s">
        <v>98</v>
      </c>
    </row>
    <row r="52" spans="1:5" ht="30" customHeight="1" x14ac:dyDescent="0.2">
      <c r="A52" s="13">
        <v>39</v>
      </c>
      <c r="B52" s="14" t="s">
        <v>99</v>
      </c>
      <c r="C52" s="14" t="s">
        <v>97</v>
      </c>
      <c r="D52" s="17" t="s">
        <v>80</v>
      </c>
      <c r="E52" s="14" t="s">
        <v>100</v>
      </c>
    </row>
    <row r="53" spans="1:5" ht="30" customHeight="1" x14ac:dyDescent="0.2">
      <c r="A53" s="10">
        <v>40</v>
      </c>
      <c r="B53" s="11" t="s">
        <v>101</v>
      </c>
      <c r="C53" s="11" t="s">
        <v>97</v>
      </c>
      <c r="D53" s="17" t="s">
        <v>80</v>
      </c>
      <c r="E53" s="11" t="s">
        <v>102</v>
      </c>
    </row>
    <row r="54" spans="1:5" ht="30" customHeight="1" x14ac:dyDescent="0.2">
      <c r="A54" s="13">
        <v>41</v>
      </c>
      <c r="B54" s="14" t="s">
        <v>103</v>
      </c>
      <c r="C54" s="14" t="s">
        <v>97</v>
      </c>
      <c r="D54" s="17" t="s">
        <v>80</v>
      </c>
      <c r="E54" s="14" t="s">
        <v>104</v>
      </c>
    </row>
    <row r="55" spans="1:5" ht="30" customHeight="1" x14ac:dyDescent="0.2">
      <c r="A55" s="10">
        <v>42</v>
      </c>
      <c r="B55" s="11" t="s">
        <v>105</v>
      </c>
      <c r="C55" s="11" t="s">
        <v>97</v>
      </c>
      <c r="D55" s="17" t="s">
        <v>80</v>
      </c>
      <c r="E55" s="11" t="s">
        <v>106</v>
      </c>
    </row>
    <row r="56" spans="1:5" ht="30" customHeight="1" x14ac:dyDescent="0.2">
      <c r="A56" s="13">
        <v>43</v>
      </c>
      <c r="B56" s="14" t="s">
        <v>107</v>
      </c>
      <c r="C56" s="14" t="s">
        <v>97</v>
      </c>
      <c r="D56" s="17" t="s">
        <v>80</v>
      </c>
      <c r="E56" s="14"/>
    </row>
    <row r="57" spans="1:5" ht="30" customHeight="1" x14ac:dyDescent="0.2">
      <c r="A57" s="10">
        <v>44</v>
      </c>
      <c r="B57" s="11" t="s">
        <v>108</v>
      </c>
      <c r="C57" s="11" t="s">
        <v>97</v>
      </c>
      <c r="D57" s="17" t="s">
        <v>80</v>
      </c>
      <c r="E57" s="11" t="s">
        <v>109</v>
      </c>
    </row>
    <row r="58" spans="1:5" ht="30" customHeight="1" x14ac:dyDescent="0.2">
      <c r="A58" s="13">
        <v>45</v>
      </c>
      <c r="B58" s="14" t="s">
        <v>110</v>
      </c>
      <c r="C58" s="14" t="s">
        <v>97</v>
      </c>
      <c r="D58" s="17" t="s">
        <v>80</v>
      </c>
      <c r="E58" s="14" t="s">
        <v>111</v>
      </c>
    </row>
    <row r="59" spans="1:5" ht="30" customHeight="1" x14ac:dyDescent="0.2">
      <c r="A59" s="10">
        <v>46</v>
      </c>
      <c r="B59" s="11" t="s">
        <v>112</v>
      </c>
      <c r="C59" s="11" t="s">
        <v>97</v>
      </c>
      <c r="D59" s="17" t="s">
        <v>80</v>
      </c>
      <c r="E59" s="11" t="s">
        <v>113</v>
      </c>
    </row>
    <row r="60" spans="1:5" ht="30" customHeight="1" x14ac:dyDescent="0.2">
      <c r="A60" s="13">
        <v>47</v>
      </c>
      <c r="B60" s="14" t="s">
        <v>114</v>
      </c>
      <c r="C60" s="14" t="s">
        <v>97</v>
      </c>
      <c r="D60" s="17" t="s">
        <v>80</v>
      </c>
      <c r="E60" s="14" t="s">
        <v>115</v>
      </c>
    </row>
    <row r="61" spans="1:5" ht="7.5" customHeight="1" x14ac:dyDescent="0.2">
      <c r="A61" s="15"/>
      <c r="B61" s="15"/>
      <c r="C61" s="15"/>
      <c r="D61" s="15"/>
      <c r="E61" s="15"/>
    </row>
  </sheetData>
  <mergeCells count="6">
    <mergeCell ref="A49:E49"/>
    <mergeCell ref="A1:E1"/>
    <mergeCell ref="A2:E2"/>
    <mergeCell ref="A3:E3"/>
    <mergeCell ref="A20:E20"/>
    <mergeCell ref="A35:E3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1" width="30" customWidth="1"/>
    <col min="2" max="4" width="14" customWidth="1"/>
  </cols>
  <sheetData>
    <row r="1" spans="1:4" ht="30" customHeight="1" x14ac:dyDescent="0.2">
      <c r="A1" s="2" t="s">
        <v>116</v>
      </c>
      <c r="B1" s="2"/>
      <c r="C1" s="2"/>
      <c r="D1" s="2"/>
    </row>
    <row r="2" spans="1:4" ht="19.5" customHeight="1" x14ac:dyDescent="0.2">
      <c r="A2" s="18" t="s">
        <v>117</v>
      </c>
      <c r="B2" s="18" t="s">
        <v>118</v>
      </c>
      <c r="C2" s="18" t="s">
        <v>119</v>
      </c>
      <c r="D2" s="18" t="s">
        <v>120</v>
      </c>
    </row>
    <row r="3" spans="1:4" ht="18" customHeight="1" x14ac:dyDescent="0.2">
      <c r="A3" s="19" t="s">
        <v>121</v>
      </c>
      <c r="B3" s="20">
        <v>14</v>
      </c>
      <c r="C3" s="20">
        <v>14</v>
      </c>
      <c r="D3" s="21">
        <f>C3/B3</f>
        <v>1</v>
      </c>
    </row>
    <row r="4" spans="1:4" ht="18" customHeight="1" x14ac:dyDescent="0.2">
      <c r="A4" s="22" t="s">
        <v>122</v>
      </c>
      <c r="B4" s="23">
        <v>12</v>
      </c>
      <c r="C4" s="23">
        <v>12</v>
      </c>
      <c r="D4" s="24">
        <f>C4/B4</f>
        <v>1</v>
      </c>
    </row>
    <row r="5" spans="1:4" ht="18" customHeight="1" x14ac:dyDescent="0.2">
      <c r="A5" s="19" t="s">
        <v>123</v>
      </c>
      <c r="B5" s="20">
        <v>11</v>
      </c>
      <c r="C5" s="20">
        <v>3</v>
      </c>
      <c r="D5" s="21">
        <f>C5/B5</f>
        <v>0.27272727272727271</v>
      </c>
    </row>
    <row r="6" spans="1:4" ht="18" customHeight="1" x14ac:dyDescent="0.2">
      <c r="A6" s="22" t="s">
        <v>124</v>
      </c>
      <c r="B6" s="23">
        <v>10</v>
      </c>
      <c r="C6" s="23">
        <v>0</v>
      </c>
      <c r="D6" s="24">
        <f>C6/B6</f>
        <v>0</v>
      </c>
    </row>
    <row r="7" spans="1:4" ht="21.75" customHeight="1" x14ac:dyDescent="0.2">
      <c r="A7" s="25" t="s">
        <v>125</v>
      </c>
      <c r="B7" s="26">
        <f>SUM(B3:B6)</f>
        <v>47</v>
      </c>
      <c r="C7" s="26">
        <f>SUM(C3:C6)</f>
        <v>29</v>
      </c>
      <c r="D7" s="27">
        <f>C7/B7</f>
        <v>0.61702127659574468</v>
      </c>
    </row>
    <row r="9" spans="1:4" x14ac:dyDescent="0.2">
      <c r="A9" s="28" t="s">
        <v>126</v>
      </c>
    </row>
    <row r="10" spans="1:4" ht="18" customHeight="1" x14ac:dyDescent="0.2">
      <c r="A10" s="29" t="s">
        <v>10</v>
      </c>
      <c r="B10" s="1" t="s">
        <v>127</v>
      </c>
      <c r="C10" s="1"/>
      <c r="D10" s="1"/>
    </row>
    <row r="11" spans="1:4" ht="18" customHeight="1" x14ac:dyDescent="0.2">
      <c r="A11" s="30" t="s">
        <v>77</v>
      </c>
      <c r="B11" s="1" t="s">
        <v>128</v>
      </c>
      <c r="C11" s="1"/>
      <c r="D11" s="1"/>
    </row>
    <row r="12" spans="1:4" ht="18" customHeight="1" x14ac:dyDescent="0.2">
      <c r="A12" s="31" t="s">
        <v>80</v>
      </c>
      <c r="B12" s="1" t="s">
        <v>129</v>
      </c>
      <c r="C12" s="1"/>
      <c r="D12" s="1"/>
    </row>
    <row r="13" spans="1:4" ht="18" customHeight="1" x14ac:dyDescent="0.2">
      <c r="A13" s="32" t="s">
        <v>130</v>
      </c>
      <c r="B13" s="1" t="s">
        <v>131</v>
      </c>
      <c r="C13" s="1"/>
      <c r="D13" s="1"/>
    </row>
  </sheetData>
  <mergeCells count="5">
    <mergeCell ref="A1:D1"/>
    <mergeCell ref="B10:D10"/>
    <mergeCell ref="B11:D11"/>
    <mergeCell ref="B12:D12"/>
    <mergeCell ref="B13:D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Tracker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Ngoc Le</cp:lastModifiedBy>
  <cp:revision>0</cp:revision>
  <dcterms:created xsi:type="dcterms:W3CDTF">2026-04-28T04:31:00Z</dcterms:created>
  <dcterms:modified xsi:type="dcterms:W3CDTF">2026-04-28T04:33:29Z</dcterms:modified>
  <dc:language>en-US</dc:language>
</cp:coreProperties>
</file>